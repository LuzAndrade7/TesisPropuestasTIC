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necuador-my.sharepoint.com/personal/luzmaria_andrade_epn_edu_ec/Documents/EPN/Tesis/TIC_PropuestasTIC_PropuestasTIC/05Documentación/"/>
    </mc:Choice>
  </mc:AlternateContent>
  <xr:revisionPtr revIDLastSave="4" documentId="8_{090F1DE3-285E-4D20-A2E0-FFBC48A00675}" xr6:coauthVersionLast="47" xr6:coauthVersionMax="47" xr10:uidLastSave="{97969396-0FC9-4A2B-88B2-CC8F39EFC5E0}"/>
  <bookViews>
    <workbookView xWindow="-120" yWindow="-120" windowWidth="20730" windowHeight="11040" xr2:uid="{BB5CA938-9C24-45F9-A1FC-1EB555FECAEF}"/>
  </bookViews>
  <sheets>
    <sheet name="Preguntas" sheetId="2" r:id="rId1"/>
    <sheet name="Resultados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6" i="1"/>
  <c r="C17" i="1"/>
  <c r="D17" i="1"/>
  <c r="E14" i="1"/>
  <c r="E15" i="1"/>
  <c r="E16" i="1"/>
  <c r="E17" i="1"/>
  <c r="D14" i="1"/>
  <c r="D15" i="1"/>
  <c r="D16" i="1"/>
  <c r="C14" i="1"/>
  <c r="D13" i="1"/>
  <c r="C13" i="1"/>
  <c r="E13" i="1" l="1"/>
  <c r="B21" i="1" l="1"/>
</calcChain>
</file>

<file path=xl/sharedStrings.xml><?xml version="1.0" encoding="utf-8"?>
<sst xmlns="http://schemas.openxmlformats.org/spreadsheetml/2006/main" count="41" uniqueCount="36">
  <si>
    <t>RESULTADOS DE LA ENCUESTA</t>
  </si>
  <si>
    <t xml:space="preserve">Pregunta 1 </t>
  </si>
  <si>
    <t>Pregunta 2</t>
  </si>
  <si>
    <t>Pregunta 3</t>
  </si>
  <si>
    <t>Pregunta 4</t>
  </si>
  <si>
    <t>Pregunta 5</t>
  </si>
  <si>
    <t>Pregunta 6</t>
  </si>
  <si>
    <t>Pregunta 7</t>
  </si>
  <si>
    <t>Pregunta 8</t>
  </si>
  <si>
    <t>Pregunta 9</t>
  </si>
  <si>
    <t>Pregunta 10</t>
  </si>
  <si>
    <t>Participante 1</t>
  </si>
  <si>
    <t>Participante 2</t>
  </si>
  <si>
    <t>Participante 3</t>
  </si>
  <si>
    <t>Participante 4</t>
  </si>
  <si>
    <t>Participante 5</t>
  </si>
  <si>
    <t>CÁLCULO</t>
  </si>
  <si>
    <t>Suma preguntas  impares</t>
  </si>
  <si>
    <t>Suma preguntas pares</t>
  </si>
  <si>
    <t>Puntaje SUS</t>
  </si>
  <si>
    <t xml:space="preserve">PROMEDIO </t>
  </si>
  <si>
    <t>GRÁFICA</t>
  </si>
  <si>
    <t>|</t>
  </si>
  <si>
    <t>N°</t>
  </si>
  <si>
    <t>Pregunta</t>
  </si>
  <si>
    <t>1. Pienso que me gustaría usar este sistema con frecuencia.</t>
  </si>
  <si>
    <t>Encontré el sistema innecesariamente complejo.</t>
  </si>
  <si>
    <t>Pienso que el sistema era fácil de usar.</t>
  </si>
  <si>
    <t>Pienso que necesitaría el apoyo de una persona técnica para poder usar este sistema.</t>
  </si>
  <si>
    <t>Considero que las diversas funciones de este sistema están bien integradas.</t>
  </si>
  <si>
    <t>Pienso que había demasiada inconsistencia en este sistema.</t>
  </si>
  <si>
    <t>Pienso que la mayoría de las personas aprenderían a usar este sistema muy rápidamente.</t>
  </si>
  <si>
    <t>Encontré que el sistema era muy complicado de usar.</t>
  </si>
  <si>
    <t>Me sentí muy seguro al usar el sistema.</t>
  </si>
  <si>
    <t>Necesité aprender muchas cosas antes de poder empezar a usar este sistema.</t>
  </si>
  <si>
    <t>PREGUNTAS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</si>
</sst>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2" borderId="2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Hoja1!#REF!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Resultados!$A$13:$A$17</c:f>
              <c:strCache>
                <c:ptCount val="5"/>
                <c:pt idx="0">
                  <c:v>Participante 1</c:v>
                </c:pt>
                <c:pt idx="1">
                  <c:v>Participante 2</c:v>
                </c:pt>
                <c:pt idx="2">
                  <c:v>Participante 3</c:v>
                </c:pt>
                <c:pt idx="3">
                  <c:v>Participante 4</c:v>
                </c:pt>
                <c:pt idx="4">
                  <c:v>Participante 5</c:v>
                </c:pt>
              </c:strCache>
            </c:strRef>
          </c:cat>
          <c:val>
            <c:numRef>
              <c:f>Hoja1!#REF!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9-458E-8902-C58FFF0F4B9D}"/>
            </c:ext>
          </c:extLst>
        </c:ser>
        <c:ser>
          <c:idx val="7"/>
          <c:order val="5"/>
          <c:tx>
            <c:strRef>
              <c:f>Resultados!$E$12</c:f>
              <c:strCache>
                <c:ptCount val="1"/>
                <c:pt idx="0">
                  <c:v>Puntaje SUS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Resultados!$A$13:$A$17</c:f>
              <c:strCache>
                <c:ptCount val="5"/>
                <c:pt idx="0">
                  <c:v>Participante 1</c:v>
                </c:pt>
                <c:pt idx="1">
                  <c:v>Participante 2</c:v>
                </c:pt>
                <c:pt idx="2">
                  <c:v>Participante 3</c:v>
                </c:pt>
                <c:pt idx="3">
                  <c:v>Participante 4</c:v>
                </c:pt>
                <c:pt idx="4">
                  <c:v>Participante 5</c:v>
                </c:pt>
              </c:strCache>
            </c:strRef>
          </c:cat>
          <c:val>
            <c:numRef>
              <c:f>Resultados!$E$13:$E$17</c:f>
              <c:numCache>
                <c:formatCode>General</c:formatCode>
                <c:ptCount val="5"/>
                <c:pt idx="0">
                  <c:v>97.5</c:v>
                </c:pt>
                <c:pt idx="1">
                  <c:v>85</c:v>
                </c:pt>
                <c:pt idx="2">
                  <c:v>92.5</c:v>
                </c:pt>
                <c:pt idx="3">
                  <c:v>75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9-458E-8902-C58FFF0F4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5361183"/>
        <c:axId val="93535926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Resultados!$B$12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Resultados!$A$13:$A$17</c15:sqref>
                        </c15:formulaRef>
                      </c:ext>
                    </c:extLst>
                    <c:strCache>
                      <c:ptCount val="5"/>
                      <c:pt idx="0">
                        <c:v>Participante 1</c:v>
                      </c:pt>
                      <c:pt idx="1">
                        <c:v>Participante 2</c:v>
                      </c:pt>
                      <c:pt idx="2">
                        <c:v>Participante 3</c:v>
                      </c:pt>
                      <c:pt idx="3">
                        <c:v>Participante 4</c:v>
                      </c:pt>
                      <c:pt idx="4">
                        <c:v>Participante 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Resultados!$B$13:$B$17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039-458E-8902-C58FFF0F4B9D}"/>
                  </c:ext>
                </c:extLst>
              </c15:ser>
            </c15:filteredBarSeries>
            <c15:filteredBar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Resultados!$D$12</c15:sqref>
                        </c15:formulaRef>
                      </c:ext>
                    </c:extLst>
                    <c:strCache>
                      <c:ptCount val="1"/>
                      <c:pt idx="0">
                        <c:v>Suma preguntas pares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Resultados!$A$13:$A$17</c15:sqref>
                        </c15:formulaRef>
                      </c:ext>
                    </c:extLst>
                    <c:strCache>
                      <c:ptCount val="5"/>
                      <c:pt idx="0">
                        <c:v>Participante 1</c:v>
                      </c:pt>
                      <c:pt idx="1">
                        <c:v>Participante 2</c:v>
                      </c:pt>
                      <c:pt idx="2">
                        <c:v>Participante 3</c:v>
                      </c:pt>
                      <c:pt idx="3">
                        <c:v>Participante 4</c:v>
                      </c:pt>
                      <c:pt idx="4">
                        <c:v>Participante 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Resultados!$D$13:$D$17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</c:v>
                      </c:pt>
                      <c:pt idx="1">
                        <c:v>17</c:v>
                      </c:pt>
                      <c:pt idx="2">
                        <c:v>18</c:v>
                      </c:pt>
                      <c:pt idx="3">
                        <c:v>15</c:v>
                      </c:pt>
                      <c:pt idx="4">
                        <c:v>17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039-458E-8902-C58FFF0F4B9D}"/>
                  </c:ext>
                </c:extLst>
              </c15:ser>
            </c15:filteredBarSeries>
            <c15:filteredBarSeries>
              <c15:ser>
                <c:idx val="5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Resultados!$F$12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Resultados!$A$13:$A$17</c15:sqref>
                        </c15:formulaRef>
                      </c:ext>
                    </c:extLst>
                    <c:strCache>
                      <c:ptCount val="5"/>
                      <c:pt idx="0">
                        <c:v>Participante 1</c:v>
                      </c:pt>
                      <c:pt idx="1">
                        <c:v>Participante 2</c:v>
                      </c:pt>
                      <c:pt idx="2">
                        <c:v>Participante 3</c:v>
                      </c:pt>
                      <c:pt idx="3">
                        <c:v>Participante 4</c:v>
                      </c:pt>
                      <c:pt idx="4">
                        <c:v>Participante 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Resultados!$F$13:$F$17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039-458E-8902-C58FFF0F4B9D}"/>
                  </c:ext>
                </c:extLst>
              </c15:ser>
            </c15:filteredBarSeries>
            <c15:filteredBarSeries>
              <c15:ser>
                <c:idx val="6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Resultados!$G$12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Resultados!$A$13:$A$17</c15:sqref>
                        </c15:formulaRef>
                      </c:ext>
                    </c:extLst>
                    <c:strCache>
                      <c:ptCount val="5"/>
                      <c:pt idx="0">
                        <c:v>Participante 1</c:v>
                      </c:pt>
                      <c:pt idx="1">
                        <c:v>Participante 2</c:v>
                      </c:pt>
                      <c:pt idx="2">
                        <c:v>Participante 3</c:v>
                      </c:pt>
                      <c:pt idx="3">
                        <c:v>Participante 4</c:v>
                      </c:pt>
                      <c:pt idx="4">
                        <c:v>Participante 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Resultados!$G$13:$G$17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039-458E-8902-C58FFF0F4B9D}"/>
                  </c:ext>
                </c:extLst>
              </c15:ser>
            </c15:filteredBarSeries>
          </c:ext>
        </c:extLst>
      </c:barChart>
      <c:catAx>
        <c:axId val="93536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935359263"/>
        <c:crosses val="autoZero"/>
        <c:auto val="1"/>
        <c:lblAlgn val="ctr"/>
        <c:lblOffset val="100"/>
        <c:noMultiLvlLbl val="0"/>
      </c:catAx>
      <c:valAx>
        <c:axId val="93535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Puntaje</a:t>
                </a:r>
                <a:r>
                  <a:rPr lang="es-EC" baseline="0"/>
                  <a:t> SUS</a:t>
                </a: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93536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657225</xdr:colOff>
      <xdr:row>10</xdr:row>
      <xdr:rowOff>28575</xdr:rowOff>
    </xdr:from>
    <xdr:to>
      <xdr:col>11</xdr:col>
      <xdr:colOff>66675</xdr:colOff>
      <xdr:row>23</xdr:row>
      <xdr:rowOff>40342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579C241-6938-4CC0-B76C-7E4E74BAA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CE846-7C38-4E45-AB41-B49299EDF218}">
  <dimension ref="B1:J13"/>
  <sheetViews>
    <sheetView showGridLines="0" tabSelected="1" workbookViewId="0">
      <selection activeCell="J11" sqref="J11"/>
    </sheetView>
  </sheetViews>
  <sheetFormatPr baseColWidth="10" defaultRowHeight="15" x14ac:dyDescent="0.25"/>
  <cols>
    <col min="2" max="2" width="5.42578125" style="14" customWidth="1"/>
    <col min="3" max="8" width="14.140625" customWidth="1"/>
  </cols>
  <sheetData>
    <row r="1" spans="2:10" ht="23.25" x14ac:dyDescent="0.35">
      <c r="B1" s="12" t="s">
        <v>35</v>
      </c>
      <c r="C1" s="12"/>
      <c r="D1" s="12"/>
      <c r="E1" s="12"/>
      <c r="F1" s="12"/>
      <c r="G1" s="12"/>
      <c r="H1" s="12"/>
      <c r="I1" s="17"/>
      <c r="J1" s="17"/>
    </row>
    <row r="2" spans="2:10" ht="6" customHeight="1" x14ac:dyDescent="0.25">
      <c r="B2"/>
    </row>
    <row r="3" spans="2:10" x14ac:dyDescent="0.25">
      <c r="B3" s="4" t="s">
        <v>23</v>
      </c>
      <c r="C3" s="16" t="s">
        <v>24</v>
      </c>
      <c r="D3" s="16"/>
      <c r="E3" s="16"/>
      <c r="F3" s="16"/>
      <c r="G3" s="16"/>
      <c r="H3" s="16"/>
    </row>
    <row r="4" spans="2:10" x14ac:dyDescent="0.25">
      <c r="B4" s="4">
        <v>1</v>
      </c>
      <c r="C4" s="15" t="s">
        <v>25</v>
      </c>
      <c r="D4" s="15"/>
      <c r="E4" s="15"/>
      <c r="F4" s="15"/>
      <c r="G4" s="15"/>
      <c r="H4" s="15"/>
    </row>
    <row r="5" spans="2:10" x14ac:dyDescent="0.25">
      <c r="B5" s="4">
        <v>2</v>
      </c>
      <c r="C5" s="15" t="s">
        <v>26</v>
      </c>
      <c r="D5" s="15"/>
      <c r="E5" s="15"/>
      <c r="F5" s="15"/>
      <c r="G5" s="15"/>
      <c r="H5" s="15"/>
    </row>
    <row r="6" spans="2:10" x14ac:dyDescent="0.25">
      <c r="B6" s="4">
        <v>3</v>
      </c>
      <c r="C6" s="15" t="s">
        <v>27</v>
      </c>
      <c r="D6" s="15"/>
      <c r="E6" s="15"/>
      <c r="F6" s="15"/>
      <c r="G6" s="15"/>
      <c r="H6" s="15"/>
    </row>
    <row r="7" spans="2:10" x14ac:dyDescent="0.25">
      <c r="B7" s="4">
        <v>4</v>
      </c>
      <c r="C7" s="15" t="s">
        <v>28</v>
      </c>
      <c r="D7" s="15"/>
      <c r="E7" s="15"/>
      <c r="F7" s="15"/>
      <c r="G7" s="15"/>
      <c r="H7" s="15"/>
    </row>
    <row r="8" spans="2:10" x14ac:dyDescent="0.25">
      <c r="B8" s="4">
        <v>5</v>
      </c>
      <c r="C8" s="15" t="s">
        <v>29</v>
      </c>
      <c r="D8" s="15"/>
      <c r="E8" s="15"/>
      <c r="F8" s="15"/>
      <c r="G8" s="15"/>
      <c r="H8" s="15"/>
    </row>
    <row r="9" spans="2:10" x14ac:dyDescent="0.25">
      <c r="B9" s="4">
        <v>6</v>
      </c>
      <c r="C9" s="15" t="s">
        <v>30</v>
      </c>
      <c r="D9" s="15"/>
      <c r="E9" s="15"/>
      <c r="F9" s="15"/>
      <c r="G9" s="15"/>
      <c r="H9" s="15"/>
    </row>
    <row r="10" spans="2:10" x14ac:dyDescent="0.25">
      <c r="B10" s="4">
        <v>7</v>
      </c>
      <c r="C10" s="15" t="s">
        <v>31</v>
      </c>
      <c r="D10" s="15"/>
      <c r="E10" s="15"/>
      <c r="F10" s="15"/>
      <c r="G10" s="15"/>
      <c r="H10" s="15"/>
    </row>
    <row r="11" spans="2:10" x14ac:dyDescent="0.25">
      <c r="B11" s="4">
        <v>8</v>
      </c>
      <c r="C11" s="15" t="s">
        <v>32</v>
      </c>
      <c r="D11" s="15"/>
      <c r="E11" s="15"/>
      <c r="F11" s="15"/>
      <c r="G11" s="15"/>
      <c r="H11" s="15"/>
    </row>
    <row r="12" spans="2:10" x14ac:dyDescent="0.25">
      <c r="B12" s="4">
        <v>9</v>
      </c>
      <c r="C12" s="15" t="s">
        <v>33</v>
      </c>
      <c r="D12" s="15"/>
      <c r="E12" s="15"/>
      <c r="F12" s="15"/>
      <c r="G12" s="15"/>
      <c r="H12" s="15"/>
    </row>
    <row r="13" spans="2:10" x14ac:dyDescent="0.25">
      <c r="B13" s="4">
        <v>10</v>
      </c>
      <c r="C13" s="15" t="s">
        <v>34</v>
      </c>
      <c r="D13" s="15"/>
      <c r="E13" s="15"/>
      <c r="F13" s="15"/>
      <c r="G13" s="15"/>
      <c r="H13" s="15"/>
    </row>
  </sheetData>
  <mergeCells count="12">
    <mergeCell ref="B1:H1"/>
    <mergeCell ref="C9:H9"/>
    <mergeCell ref="C10:H10"/>
    <mergeCell ref="C11:H11"/>
    <mergeCell ref="C12:H12"/>
    <mergeCell ref="C13:H13"/>
    <mergeCell ref="C3:H3"/>
    <mergeCell ref="C4:H4"/>
    <mergeCell ref="C5:H5"/>
    <mergeCell ref="C6:H6"/>
    <mergeCell ref="C7:H7"/>
    <mergeCell ref="C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CB64-B1CE-4B14-BAE0-388FFE00AA46}">
  <dimension ref="A1:K21"/>
  <sheetViews>
    <sheetView showGridLines="0" workbookViewId="0">
      <selection activeCell="D12" sqref="D12"/>
    </sheetView>
  </sheetViews>
  <sheetFormatPr baseColWidth="10" defaultRowHeight="15" x14ac:dyDescent="0.25"/>
  <cols>
    <col min="1" max="12" width="16.42578125" customWidth="1"/>
  </cols>
  <sheetData>
    <row r="1" spans="1:11" ht="23.25" x14ac:dyDescent="0.35">
      <c r="C1" s="12" t="s">
        <v>0</v>
      </c>
      <c r="D1" s="12"/>
      <c r="E1" s="12"/>
      <c r="F1" s="12"/>
      <c r="G1" s="12"/>
      <c r="H1" s="12"/>
      <c r="I1" s="12"/>
      <c r="J1" s="12"/>
    </row>
    <row r="2" spans="1:11" ht="6" customHeight="1" x14ac:dyDescent="0.25"/>
    <row r="3" spans="1:11" x14ac:dyDescent="0.25">
      <c r="B3" s="1" t="s">
        <v>1</v>
      </c>
      <c r="C3" s="2" t="s">
        <v>2</v>
      </c>
      <c r="D3" s="1" t="s">
        <v>3</v>
      </c>
      <c r="E3" s="2" t="s">
        <v>4</v>
      </c>
      <c r="F3" s="1" t="s">
        <v>5</v>
      </c>
      <c r="G3" s="2" t="s">
        <v>6</v>
      </c>
      <c r="H3" s="1" t="s">
        <v>7</v>
      </c>
      <c r="I3" s="2" t="s">
        <v>8</v>
      </c>
      <c r="J3" s="1" t="s">
        <v>9</v>
      </c>
      <c r="K3" s="2" t="s">
        <v>10</v>
      </c>
    </row>
    <row r="4" spans="1:11" x14ac:dyDescent="0.25">
      <c r="A4" s="3" t="s">
        <v>11</v>
      </c>
      <c r="B4" s="4">
        <v>4</v>
      </c>
      <c r="C4" s="5">
        <v>1</v>
      </c>
      <c r="D4" s="4">
        <v>5</v>
      </c>
      <c r="E4" s="5">
        <v>1</v>
      </c>
      <c r="F4" s="4">
        <v>5</v>
      </c>
      <c r="G4" s="5">
        <v>1</v>
      </c>
      <c r="H4" s="4">
        <v>5</v>
      </c>
      <c r="I4" s="5">
        <v>1</v>
      </c>
      <c r="J4" s="4">
        <v>5</v>
      </c>
      <c r="K4" s="5">
        <v>1</v>
      </c>
    </row>
    <row r="5" spans="1:11" x14ac:dyDescent="0.25">
      <c r="A5" s="3" t="s">
        <v>12</v>
      </c>
      <c r="B5" s="4">
        <v>5</v>
      </c>
      <c r="C5" s="5">
        <v>1</v>
      </c>
      <c r="D5" s="4">
        <v>4</v>
      </c>
      <c r="E5" s="5">
        <v>2</v>
      </c>
      <c r="F5" s="4">
        <v>4</v>
      </c>
      <c r="G5" s="5">
        <v>1</v>
      </c>
      <c r="H5" s="4">
        <v>5</v>
      </c>
      <c r="I5" s="5">
        <v>2</v>
      </c>
      <c r="J5" s="4">
        <v>4</v>
      </c>
      <c r="K5" s="5">
        <v>2</v>
      </c>
    </row>
    <row r="6" spans="1:11" x14ac:dyDescent="0.25">
      <c r="A6" s="3" t="s">
        <v>13</v>
      </c>
      <c r="B6" s="4">
        <v>5</v>
      </c>
      <c r="C6" s="5">
        <v>2</v>
      </c>
      <c r="D6" s="4">
        <v>5</v>
      </c>
      <c r="E6" s="5">
        <v>2</v>
      </c>
      <c r="F6" s="4">
        <v>5</v>
      </c>
      <c r="G6" s="5">
        <v>1</v>
      </c>
      <c r="H6" s="4">
        <v>5</v>
      </c>
      <c r="I6" s="5">
        <v>1</v>
      </c>
      <c r="J6" s="4">
        <v>4</v>
      </c>
      <c r="K6" s="5">
        <v>1</v>
      </c>
    </row>
    <row r="7" spans="1:11" x14ac:dyDescent="0.25">
      <c r="A7" s="3" t="s">
        <v>14</v>
      </c>
      <c r="B7" s="4">
        <v>4</v>
      </c>
      <c r="C7" s="5">
        <v>3</v>
      </c>
      <c r="D7" s="4">
        <v>5</v>
      </c>
      <c r="E7" s="5">
        <v>1</v>
      </c>
      <c r="F7" s="4">
        <v>4</v>
      </c>
      <c r="G7" s="5">
        <v>2</v>
      </c>
      <c r="H7" s="4">
        <v>3</v>
      </c>
      <c r="I7" s="5">
        <v>1</v>
      </c>
      <c r="J7" s="4">
        <v>4</v>
      </c>
      <c r="K7" s="5">
        <v>3</v>
      </c>
    </row>
    <row r="8" spans="1:11" x14ac:dyDescent="0.25">
      <c r="A8" s="3" t="s">
        <v>15</v>
      </c>
      <c r="B8" s="4">
        <v>4</v>
      </c>
      <c r="C8" s="5">
        <v>2</v>
      </c>
      <c r="D8" s="4">
        <v>4</v>
      </c>
      <c r="E8" s="5">
        <v>1</v>
      </c>
      <c r="F8" s="4">
        <v>4</v>
      </c>
      <c r="G8" s="5">
        <v>2</v>
      </c>
      <c r="H8" s="4">
        <v>4</v>
      </c>
      <c r="I8" s="5">
        <v>2</v>
      </c>
      <c r="J8" s="4">
        <v>4</v>
      </c>
      <c r="K8" s="5">
        <v>1</v>
      </c>
    </row>
    <row r="9" spans="1:11" ht="7.5" customHeight="1" x14ac:dyDescent="0.25"/>
    <row r="10" spans="1:11" ht="23.25" x14ac:dyDescent="0.35">
      <c r="A10" s="12" t="s">
        <v>16</v>
      </c>
      <c r="B10" s="12"/>
      <c r="C10" s="12"/>
      <c r="D10" s="12"/>
      <c r="E10" s="12"/>
      <c r="G10" s="12" t="s">
        <v>21</v>
      </c>
      <c r="H10" s="12"/>
      <c r="I10" s="12"/>
      <c r="J10" s="12"/>
      <c r="K10" s="12"/>
    </row>
    <row r="11" spans="1:11" ht="6.75" customHeight="1" x14ac:dyDescent="0.25"/>
    <row r="12" spans="1:11" ht="45" x14ac:dyDescent="0.25">
      <c r="C12" s="6" t="s">
        <v>17</v>
      </c>
      <c r="D12" s="8" t="s">
        <v>18</v>
      </c>
      <c r="E12" s="6" t="s">
        <v>19</v>
      </c>
    </row>
    <row r="13" spans="1:11" x14ac:dyDescent="0.25">
      <c r="A13" s="11" t="s">
        <v>11</v>
      </c>
      <c r="B13" s="11"/>
      <c r="C13" s="7">
        <f>(B4-1)+(D4-1)+(F4-1)+(H4-1)+(J4-1)</f>
        <v>19</v>
      </c>
      <c r="D13" s="9">
        <f>(5-C4)+(5-E4)+(5-G4)+(5-I4)+(5-K4)</f>
        <v>20</v>
      </c>
      <c r="E13" s="10">
        <f>(C13+D13)*2.5</f>
        <v>97.5</v>
      </c>
    </row>
    <row r="14" spans="1:11" x14ac:dyDescent="0.25">
      <c r="A14" s="11" t="s">
        <v>12</v>
      </c>
      <c r="B14" s="11"/>
      <c r="C14" s="7">
        <f t="shared" ref="C14:C17" si="0">(B5-1)+(D5-1)+(F5-1)+(H5-1)+(J5-1)</f>
        <v>17</v>
      </c>
      <c r="D14" s="9">
        <f t="shared" ref="D14:D17" si="1">(5-C5)+(5-E5)+(5-G5)+(5-I5)+(5-K5)</f>
        <v>17</v>
      </c>
      <c r="E14" s="10">
        <f t="shared" ref="E14:E17" si="2">(C14+D14)*2.5</f>
        <v>85</v>
      </c>
    </row>
    <row r="15" spans="1:11" x14ac:dyDescent="0.25">
      <c r="A15" s="11" t="s">
        <v>13</v>
      </c>
      <c r="B15" s="11"/>
      <c r="C15" s="7">
        <f>(B6-1)+(D6-1)+(F6-1)+(H6-1)+(J6-1)</f>
        <v>19</v>
      </c>
      <c r="D15" s="9">
        <f t="shared" si="1"/>
        <v>18</v>
      </c>
      <c r="E15" s="10">
        <f t="shared" si="2"/>
        <v>92.5</v>
      </c>
    </row>
    <row r="16" spans="1:11" x14ac:dyDescent="0.25">
      <c r="A16" s="11" t="s">
        <v>14</v>
      </c>
      <c r="B16" s="11"/>
      <c r="C16" s="7">
        <f>(B7-1)+(D7-1)+(F7-1)+(H7-1)+(J7-1)</f>
        <v>15</v>
      </c>
      <c r="D16" s="9">
        <f t="shared" si="1"/>
        <v>15</v>
      </c>
      <c r="E16" s="10">
        <f t="shared" si="2"/>
        <v>75</v>
      </c>
    </row>
    <row r="17" spans="1:5" x14ac:dyDescent="0.25">
      <c r="A17" s="11" t="s">
        <v>15</v>
      </c>
      <c r="B17" s="11"/>
      <c r="C17" s="7">
        <f>(B8-1)+(D8-1)+(F8-1)+(H8-1)+(J8-1)</f>
        <v>15</v>
      </c>
      <c r="D17" s="9">
        <f>(5-C8)+(5-E8)+(5-G8)+(5-I8)+(5-K8)</f>
        <v>17</v>
      </c>
      <c r="E17" s="10">
        <f t="shared" si="2"/>
        <v>80</v>
      </c>
    </row>
    <row r="18" spans="1:5" ht="6.75" customHeight="1" x14ac:dyDescent="0.25"/>
    <row r="19" spans="1:5" ht="23.25" x14ac:dyDescent="0.35">
      <c r="A19" s="12" t="s">
        <v>20</v>
      </c>
      <c r="B19" s="12"/>
      <c r="C19" s="12"/>
      <c r="D19" s="12"/>
      <c r="E19" s="12"/>
    </row>
    <row r="20" spans="1:5" ht="6" customHeight="1" x14ac:dyDescent="0.25">
      <c r="D20" t="s">
        <v>22</v>
      </c>
    </row>
    <row r="21" spans="1:5" x14ac:dyDescent="0.25">
      <c r="B21" s="13">
        <f>AVERAGE(E13:E17)</f>
        <v>86</v>
      </c>
      <c r="C21" s="13"/>
      <c r="D21" s="13"/>
    </row>
  </sheetData>
  <mergeCells count="10">
    <mergeCell ref="A17:B17"/>
    <mergeCell ref="A19:E19"/>
    <mergeCell ref="G10:K10"/>
    <mergeCell ref="B21:D21"/>
    <mergeCell ref="C1:J1"/>
    <mergeCell ref="A10:E10"/>
    <mergeCell ref="A13:B13"/>
    <mergeCell ref="A14:B14"/>
    <mergeCell ref="A15:B15"/>
    <mergeCell ref="A16:B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Preguntas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Luz Andrade</cp:lastModifiedBy>
  <dcterms:created xsi:type="dcterms:W3CDTF">2026-06-20T00:22:28Z</dcterms:created>
  <dcterms:modified xsi:type="dcterms:W3CDTF">2026-06-30T04:28:39Z</dcterms:modified>
</cp:coreProperties>
</file>